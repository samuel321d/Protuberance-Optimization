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ulian Samuel\Documents\GitHub\Protuberance-Optimization\"/>
    </mc:Choice>
  </mc:AlternateContent>
  <xr:revisionPtr revIDLastSave="0" documentId="13_ncr:1_{945FD7FB-BDDB-4581-BF67-0204289FD38F}" xr6:coauthVersionLast="47" xr6:coauthVersionMax="47" xr10:uidLastSave="{00000000-0000-0000-0000-000000000000}"/>
  <bookViews>
    <workbookView xWindow="2610" yWindow="1740" windowWidth="15375" windowHeight="7875" xr2:uid="{5303C095-B795-4B39-BB9C-ED860D67DC1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D21" i="1" l="1" a="1"/>
  <c r="D21" i="1" s="1"/>
  <c r="C22" i="1"/>
  <c r="C23" i="1"/>
  <c r="C24" i="1"/>
  <c r="C25" i="1"/>
  <c r="C26" i="1"/>
  <c r="C27" i="1"/>
  <c r="C28" i="1"/>
  <c r="C29" i="1"/>
  <c r="C30" i="1"/>
  <c r="C21" i="1"/>
  <c r="L20" i="1"/>
  <c r="H4" i="1"/>
  <c r="H5" i="1"/>
  <c r="H6" i="1"/>
  <c r="H7" i="1"/>
  <c r="H8" i="1"/>
  <c r="H9" i="1"/>
  <c r="H10" i="1"/>
  <c r="H11" i="1"/>
  <c r="H12" i="1"/>
  <c r="H3" i="1"/>
  <c r="G4" i="1"/>
  <c r="G5" i="1"/>
  <c r="G6" i="1"/>
  <c r="G7" i="1"/>
  <c r="G8" i="1"/>
  <c r="G9" i="1"/>
  <c r="G10" i="1"/>
  <c r="G11" i="1"/>
  <c r="G12" i="1"/>
  <c r="G3" i="1"/>
  <c r="L3" i="1"/>
  <c r="N20" i="1"/>
  <c r="N21" i="1"/>
  <c r="N3" i="1"/>
  <c r="N2" i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<sst xmlns="http://schemas.openxmlformats.org/spreadsheetml/2006/main" count="80" uniqueCount="44">
  <si>
    <t>Size name</t>
  </si>
  <si>
    <t>max</t>
  </si>
  <si>
    <t>growth rate</t>
  </si>
  <si>
    <t>L_ref</t>
  </si>
  <si>
    <t>Nosecone_curature</t>
  </si>
  <si>
    <t>ANGLE</t>
  </si>
  <si>
    <t>min [m]</t>
  </si>
  <si>
    <t>max [m]</t>
  </si>
  <si>
    <t>Tube size</t>
  </si>
  <si>
    <t>Type</t>
  </si>
  <si>
    <t>Curvature</t>
  </si>
  <si>
    <t>Face sizing</t>
  </si>
  <si>
    <t>BoI_2</t>
  </si>
  <si>
    <t>Body of influence</t>
  </si>
  <si>
    <t>BoI_3</t>
  </si>
  <si>
    <t>BoI_1</t>
  </si>
  <si>
    <t>CAM_CURV</t>
  </si>
  <si>
    <t>Prot_roots</t>
  </si>
  <si>
    <t>edge size</t>
  </si>
  <si>
    <t>BoI Cam</t>
  </si>
  <si>
    <t>s/D ratio min</t>
  </si>
  <si>
    <t>s/D ratio max</t>
  </si>
  <si>
    <t>Surface mesh</t>
  </si>
  <si>
    <t>surface mesh</t>
  </si>
  <si>
    <t>More desc</t>
  </si>
  <si>
    <t>Scope to faces and edges</t>
  </si>
  <si>
    <t>Bl</t>
  </si>
  <si>
    <t>Boundary layer conf</t>
  </si>
  <si>
    <t>layers</t>
  </si>
  <si>
    <t>First layer height</t>
  </si>
  <si>
    <t>Growth rate</t>
  </si>
  <si>
    <t>Volume mesh</t>
  </si>
  <si>
    <t>Vol_mesh</t>
  </si>
  <si>
    <t>100 aspect ratio</t>
  </si>
  <si>
    <t>Japos validation</t>
  </si>
  <si>
    <t>Nosotros</t>
  </si>
  <si>
    <t>min []</t>
  </si>
  <si>
    <t>Domain</t>
  </si>
  <si>
    <t>R_semisphere</t>
  </si>
  <si>
    <t>size</t>
  </si>
  <si>
    <t>Lref mm</t>
  </si>
  <si>
    <t>back</t>
  </si>
  <si>
    <t>Dia</t>
  </si>
  <si>
    <t>Lenght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</si>
</sst>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theme="4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11" fontId="0" fillId="0" borderId="0" xfId="0" applyNumberFormat="1"/>
    <xf numFmtId="0" fontId="0" fillId="0" borderId="1" xfId="0" applyBorder="1"/>
    <xf numFmtId="11" fontId="0" fillId="0" borderId="1" xfId="0" applyNumberFormat="1" applyBorder="1"/>
    <xf numFmtId="0" fontId="0" fillId="0" borderId="0" xfId="0" applyFill="1" applyBorder="1"/>
    <xf numFmtId="0" fontId="0" fillId="2" borderId="1" xfId="0" applyFill="1" applyBorder="1"/>
    <xf numFmtId="0" fontId="1" fillId="3" borderId="1" xfId="0" applyFont="1" applyFill="1" applyBorder="1" applyAlignment="1">
      <alignment horizontal="center"/>
    </xf>
    <xf numFmtId="0" fontId="1" fillId="2" borderId="1" xfId="0" applyFont="1" applyFill="1" applyBorder="1"/>
    <xf numFmtId="0" fontId="0" fillId="3" borderId="0" xfId="0" applyFill="1" applyAlignment="1">
      <alignment horizontal="center"/>
    </xf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FFD5A5-BE5A-4C51-B16D-C06F35EAAE81}">
  <dimension ref="A1:O34"/>
  <sheetViews>
    <sheetView tabSelected="1" workbookViewId="0">
      <selection activeCell="G13" sqref="G13"/>
    </sheetView>
  </sheetViews>
  <sheetFormatPr defaultRowHeight="15" x14ac:dyDescent="0.25"/>
  <cols>
    <col min="1" max="2" width="18.42578125" bestFit="1" customWidth="1"/>
    <col min="4" max="4" width="11.140625" bestFit="1" customWidth="1"/>
    <col min="5" max="5" width="10.85546875" bestFit="1" customWidth="1"/>
    <col min="7" max="7" width="12.42578125" bestFit="1" customWidth="1"/>
    <col min="8" max="8" width="12.7109375" bestFit="1" customWidth="1"/>
    <col min="9" max="9" width="23.42578125" bestFit="1" customWidth="1"/>
  </cols>
  <sheetData>
    <row r="1" spans="1:15" x14ac:dyDescent="0.25">
      <c r="A1" s="6" t="s">
        <v>34</v>
      </c>
      <c r="B1" s="6"/>
      <c r="C1" s="6"/>
      <c r="D1" s="6"/>
      <c r="E1" s="6"/>
      <c r="F1" s="6"/>
      <c r="G1" s="6"/>
      <c r="H1" s="6"/>
      <c r="I1" s="6"/>
      <c r="M1" t="s">
        <v>37</v>
      </c>
      <c r="N1" t="s">
        <v>39</v>
      </c>
      <c r="O1" t="s">
        <v>40</v>
      </c>
    </row>
    <row r="2" spans="1:15" x14ac:dyDescent="0.25">
      <c r="A2" s="7" t="s">
        <v>0</v>
      </c>
      <c r="B2" s="7" t="s">
        <v>9</v>
      </c>
      <c r="C2" s="7" t="s">
        <v>6</v>
      </c>
      <c r="D2" s="7" t="s">
        <v>7</v>
      </c>
      <c r="E2" s="7" t="s">
        <v>2</v>
      </c>
      <c r="F2" s="7" t="s">
        <v>5</v>
      </c>
      <c r="G2" s="7" t="s">
        <v>20</v>
      </c>
      <c r="H2" s="7" t="s">
        <v>21</v>
      </c>
      <c r="I2" s="7" t="s">
        <v>24</v>
      </c>
      <c r="J2" t="s">
        <v>42</v>
      </c>
      <c r="K2" t="s">
        <v>43</v>
      </c>
      <c r="L2" t="s">
        <v>3</v>
      </c>
      <c r="M2" t="s">
        <v>38</v>
      </c>
      <c r="N2" s="1">
        <f>12*O2</f>
        <v>4416</v>
      </c>
      <c r="O2" s="1">
        <v>368</v>
      </c>
    </row>
    <row r="3" spans="1:15" x14ac:dyDescent="0.25">
      <c r="A3" s="2" t="s">
        <v>4</v>
      </c>
      <c r="B3" s="2" t="s">
        <v>10</v>
      </c>
      <c r="C3" s="2">
        <v>4.0000000000000002E-4</v>
      </c>
      <c r="D3" s="2">
        <v>4.0000000000000001E-3</v>
      </c>
      <c r="E3" s="2">
        <v>1.2</v>
      </c>
      <c r="F3" s="2">
        <v>8</v>
      </c>
      <c r="G3" s="3">
        <f>C3/$L$3</f>
        <v>4.5108695652173916E-5</v>
      </c>
      <c r="H3" s="3">
        <f>D3/$L$3</f>
        <v>4.5108695652173916E-4</v>
      </c>
      <c r="I3" s="3" t="s">
        <v>25</v>
      </c>
      <c r="J3" s="1">
        <v>4.1500000000000002E-2</v>
      </c>
      <c r="K3" s="1">
        <v>0.36799999999999999</v>
      </c>
      <c r="L3" s="1">
        <f>K3/J3</f>
        <v>8.8674698795180724</v>
      </c>
      <c r="M3" t="s">
        <v>41</v>
      </c>
      <c r="N3" s="1">
        <f>15*O2</f>
        <v>5520</v>
      </c>
    </row>
    <row r="4" spans="1:15" x14ac:dyDescent="0.25">
      <c r="A4" s="2" t="s">
        <v>8</v>
      </c>
      <c r="B4" s="2" t="s">
        <v>11</v>
      </c>
      <c r="C4" s="2">
        <v>1.9E-3</v>
      </c>
      <c r="D4" s="2">
        <v>0</v>
      </c>
      <c r="E4" s="2">
        <v>1.2</v>
      </c>
      <c r="F4" s="2">
        <v>0</v>
      </c>
      <c r="G4" s="3">
        <f t="shared" ref="G4:G12" si="0">C4/$L$3</f>
        <v>2.1426630434782609E-4</v>
      </c>
      <c r="H4" s="3">
        <f t="shared" ref="H4:H12" si="1">D4/$L$3</f>
        <v>0</v>
      </c>
      <c r="I4" s="3"/>
    </row>
    <row r="5" spans="1:15" x14ac:dyDescent="0.25">
      <c r="A5" s="2" t="s">
        <v>15</v>
      </c>
      <c r="B5" s="2" t="s">
        <v>13</v>
      </c>
      <c r="C5" s="2">
        <v>1.15E-2</v>
      </c>
      <c r="D5" s="2"/>
      <c r="E5" s="2">
        <v>1.2</v>
      </c>
      <c r="F5" s="2"/>
      <c r="G5" s="3">
        <f t="shared" si="0"/>
        <v>1.2968750000000001E-3</v>
      </c>
      <c r="H5" s="3">
        <f t="shared" si="1"/>
        <v>0</v>
      </c>
      <c r="I5" s="3"/>
    </row>
    <row r="6" spans="1:15" x14ac:dyDescent="0.25">
      <c r="A6" s="2" t="s">
        <v>12</v>
      </c>
      <c r="B6" s="2" t="s">
        <v>13</v>
      </c>
      <c r="C6" s="2">
        <v>4.2999999999999997E-2</v>
      </c>
      <c r="D6" s="2"/>
      <c r="E6" s="2">
        <v>1.2</v>
      </c>
      <c r="F6" s="2"/>
      <c r="G6" s="3">
        <f t="shared" si="0"/>
        <v>4.8491847826086952E-3</v>
      </c>
      <c r="H6" s="3">
        <f t="shared" si="1"/>
        <v>0</v>
      </c>
      <c r="I6" s="3"/>
    </row>
    <row r="7" spans="1:15" x14ac:dyDescent="0.25">
      <c r="A7" s="2" t="s">
        <v>14</v>
      </c>
      <c r="B7" s="2" t="s">
        <v>13</v>
      </c>
      <c r="C7" s="2">
        <v>0.12</v>
      </c>
      <c r="D7" s="2"/>
      <c r="E7" s="2">
        <v>1.2</v>
      </c>
      <c r="F7" s="2"/>
      <c r="G7" s="3">
        <f t="shared" si="0"/>
        <v>1.3532608695652173E-2</v>
      </c>
      <c r="H7" s="3">
        <f t="shared" si="1"/>
        <v>0</v>
      </c>
      <c r="I7" s="3"/>
    </row>
    <row r="8" spans="1:15" x14ac:dyDescent="0.25">
      <c r="A8" s="2" t="s">
        <v>16</v>
      </c>
      <c r="B8" s="2" t="s">
        <v>10</v>
      </c>
      <c r="C8" s="2">
        <v>4.15E-4</v>
      </c>
      <c r="D8" s="2">
        <v>6.2250000000000001E-4</v>
      </c>
      <c r="E8" s="2">
        <v>1.2</v>
      </c>
      <c r="F8" s="2">
        <v>4</v>
      </c>
      <c r="G8" s="3">
        <f t="shared" si="0"/>
        <v>4.6800271739130437E-5</v>
      </c>
      <c r="H8" s="3">
        <f t="shared" si="1"/>
        <v>7.0200407608695656E-5</v>
      </c>
      <c r="I8" s="3"/>
    </row>
    <row r="9" spans="1:15" x14ac:dyDescent="0.25">
      <c r="A9" s="2" t="s">
        <v>17</v>
      </c>
      <c r="B9" s="2" t="s">
        <v>18</v>
      </c>
      <c r="C9" s="2">
        <v>4.15E-4</v>
      </c>
      <c r="D9" s="2"/>
      <c r="E9" s="2">
        <v>1.2</v>
      </c>
      <c r="F9" s="2"/>
      <c r="G9" s="3">
        <f t="shared" si="0"/>
        <v>4.6800271739130437E-5</v>
      </c>
      <c r="H9" s="3">
        <f t="shared" si="1"/>
        <v>0</v>
      </c>
      <c r="I9" s="3"/>
    </row>
    <row r="10" spans="1:15" x14ac:dyDescent="0.25">
      <c r="A10" s="2" t="s">
        <v>19</v>
      </c>
      <c r="B10" s="2" t="s">
        <v>13</v>
      </c>
      <c r="C10" s="2">
        <v>4.0000000000000001E-3</v>
      </c>
      <c r="D10" s="2"/>
      <c r="E10" s="2">
        <v>1.2</v>
      </c>
      <c r="F10" s="2"/>
      <c r="G10" s="3">
        <f t="shared" si="0"/>
        <v>4.5108695652173916E-4</v>
      </c>
      <c r="H10" s="3">
        <f t="shared" si="1"/>
        <v>0</v>
      </c>
      <c r="I10" s="3"/>
    </row>
    <row r="11" spans="1:15" x14ac:dyDescent="0.25">
      <c r="A11" s="2" t="s">
        <v>22</v>
      </c>
      <c r="B11" s="2" t="s">
        <v>23</v>
      </c>
      <c r="C11" s="2">
        <v>7.1545999999999997E-3</v>
      </c>
      <c r="D11" s="2">
        <v>0.5</v>
      </c>
      <c r="E11" s="2">
        <v>1.2</v>
      </c>
      <c r="F11" s="2"/>
      <c r="G11" s="3">
        <f t="shared" si="0"/>
        <v>8.0683668478260867E-4</v>
      </c>
      <c r="H11" s="3">
        <f t="shared" si="1"/>
        <v>5.6385869565217392E-2</v>
      </c>
      <c r="I11" s="2"/>
    </row>
    <row r="12" spans="1:15" x14ac:dyDescent="0.25">
      <c r="A12" s="2" t="s">
        <v>31</v>
      </c>
      <c r="B12" s="2" t="s">
        <v>32</v>
      </c>
      <c r="C12" s="2">
        <v>4.15E-4</v>
      </c>
      <c r="D12" s="2">
        <v>0.84989999999999999</v>
      </c>
      <c r="E12" s="2"/>
      <c r="F12" s="2"/>
      <c r="G12" s="3">
        <f t="shared" si="0"/>
        <v>4.6800271739130437E-5</v>
      </c>
      <c r="H12" s="3">
        <f t="shared" si="1"/>
        <v>9.5844701086956516E-2</v>
      </c>
      <c r="I12" s="2" t="s">
        <v>33</v>
      </c>
    </row>
    <row r="13" spans="1:15" x14ac:dyDescent="0.25">
      <c r="A13" s="2"/>
      <c r="B13" s="2"/>
      <c r="C13" s="2"/>
      <c r="D13" s="2"/>
      <c r="E13" s="2"/>
      <c r="F13" s="2"/>
      <c r="G13" s="2"/>
      <c r="H13" s="2"/>
      <c r="I13" s="2"/>
    </row>
    <row r="14" spans="1:15" x14ac:dyDescent="0.25">
      <c r="A14" s="2"/>
      <c r="B14" s="2"/>
      <c r="C14" s="2"/>
      <c r="D14" s="2"/>
      <c r="E14" s="2"/>
      <c r="F14" s="2"/>
      <c r="G14" s="2"/>
      <c r="H14" s="2"/>
      <c r="I14" s="2"/>
    </row>
    <row r="15" spans="1:15" x14ac:dyDescent="0.25">
      <c r="A15" s="2" t="s">
        <v>27</v>
      </c>
      <c r="B15" s="2" t="s">
        <v>28</v>
      </c>
      <c r="C15" s="2" t="s">
        <v>29</v>
      </c>
      <c r="D15" s="2" t="s">
        <v>30</v>
      </c>
      <c r="E15" s="2"/>
      <c r="F15" s="2"/>
      <c r="G15" s="2"/>
      <c r="H15" s="2"/>
      <c r="I15" s="2"/>
    </row>
    <row r="16" spans="1:15" x14ac:dyDescent="0.25">
      <c r="A16" s="2" t="s">
        <v>26</v>
      </c>
      <c r="B16" s="2">
        <v>35</v>
      </c>
      <c r="C16" s="3">
        <v>1.44E-6</v>
      </c>
      <c r="D16" s="2">
        <v>1.21</v>
      </c>
      <c r="E16" s="2"/>
      <c r="F16" s="2"/>
      <c r="G16" s="2"/>
      <c r="H16" s="2"/>
      <c r="I16" s="2"/>
    </row>
    <row r="19" spans="1:15" x14ac:dyDescent="0.25">
      <c r="A19" s="8" t="s">
        <v>35</v>
      </c>
      <c r="B19" s="8"/>
      <c r="C19" s="8"/>
      <c r="D19" s="8"/>
      <c r="E19" s="8"/>
      <c r="F19" s="8"/>
      <c r="G19" s="8"/>
      <c r="H19" s="8"/>
      <c r="I19" s="8"/>
      <c r="J19" t="s">
        <v>42</v>
      </c>
      <c r="K19" t="s">
        <v>43</v>
      </c>
      <c r="L19" t="s">
        <v>3</v>
      </c>
      <c r="M19" t="s">
        <v>37</v>
      </c>
      <c r="N19" t="s">
        <v>39</v>
      </c>
      <c r="O19" t="s">
        <v>40</v>
      </c>
    </row>
    <row r="20" spans="1:15" x14ac:dyDescent="0.25">
      <c r="A20" s="5" t="s">
        <v>0</v>
      </c>
      <c r="B20" s="5" t="s">
        <v>9</v>
      </c>
      <c r="C20" s="9" t="s">
        <v>36</v>
      </c>
      <c r="D20" s="9" t="s">
        <v>1</v>
      </c>
      <c r="E20" s="5" t="s">
        <v>2</v>
      </c>
      <c r="F20" s="5" t="s">
        <v>5</v>
      </c>
      <c r="G20" s="4"/>
      <c r="J20" s="1">
        <v>0.17399999999999999</v>
      </c>
      <c r="K20" s="1">
        <v>3.24</v>
      </c>
      <c r="L20" s="1">
        <f>K20/J20</f>
        <v>18.620689655172416</v>
      </c>
      <c r="M20" t="s">
        <v>38</v>
      </c>
      <c r="N20" s="1">
        <f>12*O20</f>
        <v>38880</v>
      </c>
      <c r="O20" s="1">
        <v>3240</v>
      </c>
    </row>
    <row r="21" spans="1:15" x14ac:dyDescent="0.25">
      <c r="A21" s="2" t="s">
        <v>4</v>
      </c>
      <c r="B21" s="2" t="s">
        <v>10</v>
      </c>
      <c r="C21" s="1">
        <f>$L$20*G3</f>
        <v>8.3995502248875584E-4</v>
      </c>
      <c r="D21" s="1" cm="1">
        <f t="array" ref="D21:D30">$L$20*H3:H12</f>
        <v>8.3995502248875586E-3</v>
      </c>
      <c r="E21" s="2">
        <v>1.2</v>
      </c>
      <c r="F21" s="2">
        <v>8</v>
      </c>
      <c r="M21" t="s">
        <v>41</v>
      </c>
      <c r="N21" s="1">
        <f>15*O20</f>
        <v>48600</v>
      </c>
    </row>
    <row r="22" spans="1:15" x14ac:dyDescent="0.25">
      <c r="A22" s="2" t="s">
        <v>8</v>
      </c>
      <c r="B22" s="2" t="s">
        <v>11</v>
      </c>
      <c r="C22" s="1">
        <f t="shared" ref="C22:C30" si="2">$L$20*G4</f>
        <v>3.98978635682159E-3</v>
      </c>
      <c r="D22">
        <v>0</v>
      </c>
      <c r="E22" s="2">
        <v>1.2</v>
      </c>
      <c r="F22" s="2">
        <v>0</v>
      </c>
    </row>
    <row r="23" spans="1:15" x14ac:dyDescent="0.25">
      <c r="A23" s="2" t="s">
        <v>15</v>
      </c>
      <c r="B23" s="2" t="s">
        <v>13</v>
      </c>
      <c r="C23" s="1">
        <f t="shared" si="2"/>
        <v>2.4148706896551728E-2</v>
      </c>
      <c r="D23">
        <v>0</v>
      </c>
      <c r="E23" s="2">
        <v>1.2</v>
      </c>
      <c r="F23" s="2"/>
    </row>
    <row r="24" spans="1:15" x14ac:dyDescent="0.25">
      <c r="A24" s="2" t="s">
        <v>12</v>
      </c>
      <c r="B24" s="2" t="s">
        <v>13</v>
      </c>
      <c r="C24" s="1">
        <f t="shared" si="2"/>
        <v>9.0295164917541235E-2</v>
      </c>
      <c r="D24">
        <v>0</v>
      </c>
      <c r="E24" s="2">
        <v>1.2</v>
      </c>
      <c r="F24" s="2"/>
    </row>
    <row r="25" spans="1:15" x14ac:dyDescent="0.25">
      <c r="A25" s="2" t="s">
        <v>14</v>
      </c>
      <c r="B25" s="2" t="s">
        <v>13</v>
      </c>
      <c r="C25" s="1">
        <f t="shared" si="2"/>
        <v>0.2519865067466267</v>
      </c>
      <c r="D25">
        <v>0</v>
      </c>
      <c r="E25" s="2">
        <v>1.2</v>
      </c>
      <c r="F25" s="2"/>
    </row>
    <row r="26" spans="1:15" x14ac:dyDescent="0.25">
      <c r="A26" s="2" t="s">
        <v>16</v>
      </c>
      <c r="B26" s="2" t="s">
        <v>10</v>
      </c>
      <c r="C26" s="1">
        <f t="shared" si="2"/>
        <v>8.7145333583208415E-4</v>
      </c>
      <c r="D26">
        <v>1.3071800037481262E-3</v>
      </c>
      <c r="E26" s="2">
        <v>1.2</v>
      </c>
      <c r="F26" s="2">
        <v>4</v>
      </c>
    </row>
    <row r="27" spans="1:15" x14ac:dyDescent="0.25">
      <c r="A27" s="2" t="s">
        <v>17</v>
      </c>
      <c r="B27" s="2" t="s">
        <v>18</v>
      </c>
      <c r="C27" s="1">
        <f t="shared" si="2"/>
        <v>8.7145333583208415E-4</v>
      </c>
      <c r="D27">
        <v>0</v>
      </c>
      <c r="E27" s="2">
        <v>1.2</v>
      </c>
      <c r="F27" s="2"/>
    </row>
    <row r="28" spans="1:15" x14ac:dyDescent="0.25">
      <c r="A28" s="2" t="s">
        <v>19</v>
      </c>
      <c r="B28" s="2" t="s">
        <v>13</v>
      </c>
      <c r="C28" s="1">
        <f t="shared" si="2"/>
        <v>8.3995502248875586E-3</v>
      </c>
      <c r="D28">
        <v>0</v>
      </c>
      <c r="E28" s="2">
        <v>1.2</v>
      </c>
      <c r="F28" s="2"/>
    </row>
    <row r="29" spans="1:15" x14ac:dyDescent="0.25">
      <c r="A29" s="2" t="s">
        <v>22</v>
      </c>
      <c r="B29" s="2" t="s">
        <v>23</v>
      </c>
      <c r="C29" s="1">
        <f t="shared" si="2"/>
        <v>1.5023855509745129E-2</v>
      </c>
      <c r="D29">
        <v>1.0499437781109446</v>
      </c>
      <c r="E29" s="2">
        <v>1.2</v>
      </c>
      <c r="F29" s="2"/>
    </row>
    <row r="30" spans="1:15" x14ac:dyDescent="0.25">
      <c r="A30" s="2" t="s">
        <v>31</v>
      </c>
      <c r="B30" s="2" t="s">
        <v>32</v>
      </c>
      <c r="C30" s="1">
        <f t="shared" si="2"/>
        <v>8.7145333583208415E-4</v>
      </c>
      <c r="D30">
        <v>1.7846944340329836</v>
      </c>
      <c r="E30" s="2"/>
      <c r="F30" s="2"/>
    </row>
    <row r="31" spans="1:15" x14ac:dyDescent="0.25">
      <c r="E31" s="2"/>
      <c r="F31" s="2"/>
    </row>
    <row r="32" spans="1:15" x14ac:dyDescent="0.25">
      <c r="E32" s="2"/>
      <c r="F32" s="2"/>
    </row>
    <row r="33" spans="5:6" x14ac:dyDescent="0.25">
      <c r="E33" s="2"/>
      <c r="F33" s="2"/>
    </row>
    <row r="34" spans="5:6" x14ac:dyDescent="0.25">
      <c r="E34" s="2"/>
      <c r="F34" s="2"/>
    </row>
  </sheetData>
  <mergeCells count="2">
    <mergeCell ref="A1:I1"/>
    <mergeCell ref="A19:I1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JULIAN SAMUEL PRIETO LEON</dc:creator>
  <cp:lastModifiedBy>JULIAN SAMUEL PRIETO LEON</cp:lastModifiedBy>
  <dcterms:created xsi:type="dcterms:W3CDTF">2026-05-23T20:24:14Z</dcterms:created>
  <dcterms:modified xsi:type="dcterms:W3CDTF">2026-05-24T14:31:03Z</dcterms:modified>
</cp:coreProperties>
</file>